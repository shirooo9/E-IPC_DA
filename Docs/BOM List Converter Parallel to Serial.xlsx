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Kuliah\Magang\PT. Saka Farma Laboratories\E-IPC\E-IPC_DA\Docs\"/>
    </mc:Choice>
  </mc:AlternateContent>
  <xr:revisionPtr revIDLastSave="0" documentId="13_ncr:1_{9A2D6E75-7D9A-45E6-9588-546C46165D0E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Bill of Materials" sheetId="1" r:id="rId1"/>
  </sheets>
  <externalReferences>
    <externalReference r:id="rId2"/>
    <externalReference r:id="rId3"/>
  </externalReferences>
  <definedNames>
    <definedName name="_xlnm.Print_Area" localSheetId="0">'Bill of Materials'!$B$1:$I$23</definedName>
    <definedName name="Priority">'[1]Business Process Flowchart'!#REF!</definedName>
    <definedName name="Status">'[1]Business Process Flowchart'!#REF!</definedName>
    <definedName name="Type">'[2]Towing Invoice'!#REF!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10" i="1" l="1"/>
  <c r="J11" i="1"/>
  <c r="J12" i="1"/>
  <c r="J13" i="1"/>
  <c r="J9" i="1"/>
  <c r="E23" i="1"/>
  <c r="C5" i="1" s="1"/>
  <c r="J22" i="1"/>
  <c r="J21" i="1"/>
  <c r="J20" i="1"/>
  <c r="J19" i="1"/>
  <c r="J18" i="1"/>
  <c r="J17" i="1"/>
  <c r="J16" i="1"/>
  <c r="J15" i="1"/>
  <c r="J14" i="1"/>
  <c r="J23" i="1" l="1"/>
  <c r="D6" i="1"/>
  <c r="C6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</future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<sst xmlns="http://schemas.openxmlformats.org/spreadsheetml/2006/main" count="41" uniqueCount="37">
  <si>
    <t>PART NUMBER</t>
  </si>
  <si>
    <t>PART NAME</t>
  </si>
  <si>
    <t>DESCRIPTION</t>
  </si>
  <si>
    <t>UNITS</t>
  </si>
  <si>
    <t>UNIT COST</t>
  </si>
  <si>
    <t>AMOUNT</t>
  </si>
  <si>
    <t>PRODUCT NAME</t>
  </si>
  <si>
    <t>APPROVED BY</t>
  </si>
  <si>
    <t>DATE OF APPROVAL</t>
  </si>
  <si>
    <t>CONTACT INFO</t>
  </si>
  <si>
    <t>TOTAL COST</t>
  </si>
  <si>
    <t>TOTAL PARTS</t>
  </si>
  <si>
    <t>TOTAL</t>
  </si>
  <si>
    <t>PART COUNT</t>
  </si>
  <si>
    <t>QUANTITY</t>
  </si>
  <si>
    <t>PRODUCT ASSEMBLY IMAGE</t>
  </si>
  <si>
    <t>PART IMAGE</t>
  </si>
  <si>
    <t>CREATE YOUR BILL OF MATERIALS TEMPLATE IN SMARTSHEET</t>
  </si>
  <si>
    <t>BILL OF MATERIALS</t>
  </si>
  <si>
    <t>pcs</t>
  </si>
  <si>
    <t>PRODUCT LINK</t>
  </si>
  <si>
    <t>Arduino Nano V3.0 ATmega328P CH340 CH340G 5V Board + Kabel USB</t>
  </si>
  <si>
    <t>https://tk.tokopedia.com/ZSbVjX3HS/</t>
  </si>
  <si>
    <t>1.</t>
  </si>
  <si>
    <t>2.</t>
  </si>
  <si>
    <t>CPU Converter</t>
  </si>
  <si>
    <t>DB25 Connector Female Solder-free Breakout Connector</t>
  </si>
  <si>
    <t>Connector</t>
  </si>
  <si>
    <t>https://tk.tokopedia.com/ZSbV3n8wN/</t>
  </si>
  <si>
    <t>3.</t>
  </si>
  <si>
    <t>Kabel Connector</t>
  </si>
  <si>
    <t>meter</t>
  </si>
  <si>
    <t>KABEL SERABUT AWG 26 AWG26 Merah</t>
  </si>
  <si>
    <t>KABEL SERABUT AWG 26 AWG26 Hitam</t>
  </si>
  <si>
    <t>https://tk.tokopedia.com/ZSbVTwXhD/</t>
  </si>
  <si>
    <t>https://tk.tokopedia.com/ZSbVTpNmP/</t>
  </si>
  <si>
    <t>E-IPC Parallel to Serial Converter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</si>
</sst>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[$-F800]dddd\,\ mmmm\ dd\,\ yyyy"/>
    <numFmt numFmtId="166" formatCode="_-[$Rp-3809]* #,##0_-;\-[$Rp-3809]* #,##0_-;_-[$Rp-3809]* &quot;-&quot;??_-;_-@_-"/>
  </numFmts>
  <fonts count="20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charset val="134"/>
      <scheme val="minor"/>
    </font>
    <font>
      <u/>
      <sz val="12"/>
      <color theme="11"/>
      <name val="Calibri"/>
      <family val="2"/>
      <charset val="134"/>
      <scheme val="minor"/>
    </font>
    <font>
      <b/>
      <sz val="10"/>
      <color theme="0"/>
      <name val="Century Gothic"/>
      <family val="1"/>
    </font>
    <font>
      <sz val="12"/>
      <color theme="1"/>
      <name val="Century Gothic"/>
      <family val="2"/>
    </font>
    <font>
      <sz val="11"/>
      <color theme="1"/>
      <name val="Calibri"/>
      <family val="2"/>
      <scheme val="minor"/>
    </font>
    <font>
      <sz val="10"/>
      <color theme="1"/>
      <name val="Century Gothic"/>
      <family val="1"/>
    </font>
    <font>
      <b/>
      <sz val="20"/>
      <color theme="0" tint="-0.499984740745262"/>
      <name val="Century Gothic"/>
      <family val="1"/>
    </font>
    <font>
      <sz val="10"/>
      <color theme="1"/>
      <name val="CenUTRY GOTH"/>
    </font>
    <font>
      <b/>
      <sz val="9"/>
      <color theme="0"/>
      <name val="Century Gothic"/>
      <family val="1"/>
    </font>
    <font>
      <b/>
      <sz val="11"/>
      <color theme="1"/>
      <name val="Century Gothic"/>
      <family val="1"/>
    </font>
    <font>
      <b/>
      <sz val="36"/>
      <color theme="3" tint="0.79998168889431442"/>
      <name val="Century Gothic"/>
      <family val="1"/>
    </font>
    <font>
      <b/>
      <sz val="8"/>
      <color theme="0"/>
      <name val="Century Gothic"/>
      <family val="1"/>
    </font>
    <font>
      <u/>
      <sz val="12"/>
      <color theme="1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entury Gothic"/>
      <family val="1"/>
    </font>
    <font>
      <b/>
      <sz val="12"/>
      <color theme="0"/>
      <name val="Century Gothic"/>
      <family val="1"/>
    </font>
    <font>
      <b/>
      <sz val="12"/>
      <color theme="0"/>
      <name val="Calibri"/>
      <family val="2"/>
      <scheme val="minor"/>
    </font>
    <font>
      <b/>
      <sz val="12"/>
      <color theme="3" tint="0.79998168889431442"/>
      <name val="Century Gothic"/>
      <family val="1"/>
    </font>
  </fonts>
  <fills count="9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lightUp">
        <fgColor theme="0" tint="-4.9989318521683403E-2"/>
        <bgColor indexed="65"/>
      </patternFill>
    </fill>
    <fill>
      <patternFill patternType="solid">
        <fgColor rgb="FF40B14B"/>
        <bgColor indexed="64"/>
      </patternFill>
    </fill>
  </fills>
  <borders count="6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</borders>
  <cellStyleXfs count="1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5" fillId="0" borderId="0"/>
    <xf numFmtId="0" fontId="13" fillId="0" borderId="0" applyNumberFormat="0" applyFill="0" applyBorder="0" applyAlignment="0" applyProtection="0"/>
  </cellStyleXfs>
  <cellXfs count="62">
    <xf numFmtId="0" fontId="0" fillId="0" borderId="0" xfId="0"/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0" borderId="0" xfId="0" applyBorder="1"/>
    <xf numFmtId="0" fontId="8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 indent="1"/>
    </xf>
    <xf numFmtId="1" fontId="6" fillId="4" borderId="1" xfId="0" applyNumberFormat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left" vertical="center" wrapText="1" indent="1"/>
    </xf>
    <xf numFmtId="1" fontId="6" fillId="4" borderId="4" xfId="0" applyNumberFormat="1" applyFont="1" applyFill="1" applyBorder="1" applyAlignment="1">
      <alignment horizontal="center" vertical="center"/>
    </xf>
    <xf numFmtId="1" fontId="3" fillId="3" borderId="3" xfId="0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 indent="1"/>
    </xf>
    <xf numFmtId="1" fontId="6" fillId="4" borderId="2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right" vertical="center" indent="1"/>
    </xf>
    <xf numFmtId="0" fontId="12" fillId="6" borderId="1" xfId="0" applyFont="1" applyFill="1" applyBorder="1" applyAlignment="1">
      <alignment horizontal="right" vertical="center" indent="1"/>
    </xf>
    <xf numFmtId="0" fontId="12" fillId="3" borderId="1" xfId="0" applyFont="1" applyFill="1" applyBorder="1" applyAlignment="1">
      <alignment horizontal="right" vertical="center" indent="1"/>
    </xf>
    <xf numFmtId="0" fontId="12" fillId="2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10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165" fontId="6" fillId="0" borderId="1" xfId="0" applyNumberFormat="1" applyFont="1" applyBorder="1" applyAlignment="1">
      <alignment horizontal="left" vertical="center" wrapText="1"/>
    </xf>
    <xf numFmtId="1" fontId="6" fillId="5" borderId="1" xfId="0" applyNumberFormat="1" applyFont="1" applyFill="1" applyBorder="1" applyAlignment="1">
      <alignment horizontal="right" vertical="center" wrapText="1"/>
    </xf>
    <xf numFmtId="164" fontId="6" fillId="5" borderId="1" xfId="0" applyNumberFormat="1" applyFont="1" applyFill="1" applyBorder="1" applyAlignment="1">
      <alignment horizontal="right" vertical="center" wrapText="1"/>
    </xf>
    <xf numFmtId="0" fontId="6" fillId="0" borderId="0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166" fontId="4" fillId="0" borderId="0" xfId="0" applyNumberFormat="1" applyFont="1" applyAlignment="1">
      <alignment vertical="center"/>
    </xf>
    <xf numFmtId="166" fontId="6" fillId="0" borderId="0" xfId="0" applyNumberFormat="1" applyFont="1" applyBorder="1" applyAlignment="1">
      <alignment horizontal="center" vertical="center"/>
    </xf>
    <xf numFmtId="166" fontId="9" fillId="2" borderId="1" xfId="0" applyNumberFormat="1" applyFont="1" applyFill="1" applyBorder="1" applyAlignment="1">
      <alignment horizontal="center" vertical="center"/>
    </xf>
    <xf numFmtId="166" fontId="6" fillId="4" borderId="1" xfId="0" applyNumberFormat="1" applyFont="1" applyFill="1" applyBorder="1" applyAlignment="1">
      <alignment horizontal="left" vertical="center" indent="1"/>
    </xf>
    <xf numFmtId="166" fontId="6" fillId="5" borderId="1" xfId="0" applyNumberFormat="1" applyFont="1" applyFill="1" applyBorder="1" applyAlignment="1">
      <alignment horizontal="left" vertical="center" indent="1"/>
    </xf>
    <xf numFmtId="166" fontId="6" fillId="4" borderId="2" xfId="0" applyNumberFormat="1" applyFont="1" applyFill="1" applyBorder="1" applyAlignment="1">
      <alignment horizontal="left" vertical="center" indent="1"/>
    </xf>
    <xf numFmtId="166" fontId="6" fillId="5" borderId="2" xfId="0" applyNumberFormat="1" applyFont="1" applyFill="1" applyBorder="1" applyAlignment="1">
      <alignment horizontal="left" vertical="center" indent="1"/>
    </xf>
    <xf numFmtId="166" fontId="3" fillId="3" borderId="5" xfId="0" applyNumberFormat="1" applyFont="1" applyFill="1" applyBorder="1" applyAlignment="1">
      <alignment horizontal="right" vertical="center" indent="1"/>
    </xf>
    <xf numFmtId="166" fontId="0" fillId="0" borderId="0" xfId="0" applyNumberFormat="1"/>
    <xf numFmtId="0" fontId="4" fillId="0" borderId="0" xfId="0" applyFont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166" fontId="6" fillId="0" borderId="5" xfId="0" applyNumberFormat="1" applyFont="1" applyBorder="1" applyAlignment="1">
      <alignment horizontal="left" vertical="center" indent="1"/>
    </xf>
    <xf numFmtId="166" fontId="4" fillId="0" borderId="0" xfId="0" applyNumberFormat="1" applyFont="1" applyAlignment="1">
      <alignment vertical="center" wrapText="1"/>
    </xf>
    <xf numFmtId="166" fontId="16" fillId="0" borderId="0" xfId="0" applyNumberFormat="1" applyFont="1" applyBorder="1" applyAlignment="1">
      <alignment horizontal="center" vertical="center" wrapText="1"/>
    </xf>
    <xf numFmtId="0" fontId="13" fillId="0" borderId="1" xfId="18" applyNumberFormat="1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7" fillId="3" borderId="4" xfId="0" applyFont="1" applyFill="1" applyBorder="1" applyAlignment="1">
      <alignment horizontal="center" vertical="center" wrapText="1"/>
    </xf>
    <xf numFmtId="166" fontId="15" fillId="0" borderId="0" xfId="0" applyNumberFormat="1" applyFont="1" applyAlignment="1">
      <alignment wrapText="1"/>
    </xf>
    <xf numFmtId="0" fontId="13" fillId="0" borderId="1" xfId="18" applyBorder="1" applyAlignment="1">
      <alignment horizontal="center" vertical="center" wrapText="1"/>
    </xf>
    <xf numFmtId="0" fontId="11" fillId="7" borderId="0" xfId="0" applyNumberFormat="1" applyFont="1" applyFill="1" applyBorder="1" applyAlignment="1">
      <alignment horizontal="center" vertical="center" wrapText="1"/>
    </xf>
    <xf numFmtId="0" fontId="19" fillId="7" borderId="0" xfId="0" applyNumberFormat="1" applyFont="1" applyFill="1" applyBorder="1" applyAlignment="1">
      <alignment horizontal="center" vertical="center" wrapText="1"/>
    </xf>
    <xf numFmtId="0" fontId="14" fillId="8" borderId="0" xfId="18" applyFont="1" applyFill="1" applyAlignment="1">
      <alignment horizontal="center" vertical="center"/>
    </xf>
    <xf numFmtId="0" fontId="18" fillId="8" borderId="0" xfId="18" applyFont="1" applyFill="1" applyAlignment="1">
      <alignment horizontal="center" vertical="center"/>
    </xf>
    <xf numFmtId="166" fontId="6" fillId="4" borderId="1" xfId="0" applyNumberFormat="1" applyFont="1" applyFill="1" applyBorder="1" applyAlignment="1">
      <alignment horizontal="center" vertical="center"/>
    </xf>
  </cellXfs>
  <cellStyles count="1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5" builtinId="9" hidden="1"/>
    <cellStyle name="Followed Hyperlink" xfId="1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8" builtinId="8"/>
    <cellStyle name="Normal" xfId="0" builtinId="0"/>
    <cellStyle name="Normal 2" xfId="17" xr:uid="{00000000-0005-0000-0000-000000000000}"/>
  </cellStyles>
  <dxfs count="0"/>
  <tableStyles count="0" defaultTableStyle="TableStyleMedium9" defaultPivotStyle="PivotStyleMedium4"/>
  <colors>
    <mruColors>
      <color rgb="FF40B1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C-Business-Process-Flowchart-Template2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IC-Towing-Invoice-Template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siness Process Flowchart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wing Invoice"/>
      <sheetName val="- Disclaimer -"/>
    </sheetNames>
    <sheetDataSet>
      <sheetData sheetId="0"/>
      <sheetData sheetId="1" refreshError="1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">
  <rv s="0">
    <v>0</v>
    <v>5</v>
  </rv>
  <rv s="0">
    <v>1</v>
    <v>5</v>
  </rv>
  <rv s="0">
    <v>2</v>
    <v>5</v>
  </rv>
  <rv s="0">
    <v>3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tk.tokopedia.com/ZSbV3n8wN/" TargetMode="External"/><Relationship Id="rId2" Type="http://schemas.openxmlformats.org/officeDocument/2006/relationships/hyperlink" Target="https://tk.tokopedia.com/ZSbVjX3HS/" TargetMode="External"/><Relationship Id="rId1" Type="http://schemas.openxmlformats.org/officeDocument/2006/relationships/hyperlink" Target="https://goo.gl/cTwMSE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tk.tokopedia.com/ZSbVTwXh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/>
    <pageSetUpPr fitToPage="1"/>
  </sheetPr>
  <dimension ref="B1:J26"/>
  <sheetViews>
    <sheetView showGridLines="0" tabSelected="1" topLeftCell="D1" zoomScale="295" zoomScaleNormal="70" zoomScalePageLayoutView="75" workbookViewId="0">
      <pane ySplit="1" topLeftCell="A11" activePane="bottomLeft" state="frozen"/>
      <selection pane="bottomLeft" activeCell="H9" sqref="H9"/>
    </sheetView>
  </sheetViews>
  <sheetFormatPr defaultColWidth="11" defaultRowHeight="15.6"/>
  <cols>
    <col min="1" max="1" width="3.296875" customWidth="1"/>
    <col min="2" max="2" width="15.69921875" customWidth="1"/>
    <col min="3" max="3" width="69.8984375" style="29" customWidth="1"/>
    <col min="4" max="4" width="38.5" style="30" customWidth="1"/>
    <col min="5" max="6" width="10.796875" customWidth="1"/>
    <col min="7" max="7" width="28.69921875" style="30" customWidth="1"/>
    <col min="8" max="8" width="25.59765625" style="55" customWidth="1"/>
    <col min="9" max="9" width="15.796875" style="39" customWidth="1"/>
    <col min="10" max="10" width="17.8984375" customWidth="1"/>
  </cols>
  <sheetData>
    <row r="1" spans="2:10" ht="50.55" customHeight="1">
      <c r="B1" s="2" t="s">
        <v>18</v>
      </c>
      <c r="C1" s="19"/>
      <c r="D1" s="40"/>
      <c r="E1" s="1"/>
      <c r="F1" s="1"/>
      <c r="G1" s="40"/>
      <c r="H1" s="49"/>
      <c r="I1" s="31"/>
      <c r="J1" s="3"/>
    </row>
    <row r="2" spans="2:10" ht="30" customHeight="1">
      <c r="B2" s="14" t="s">
        <v>6</v>
      </c>
      <c r="C2" s="20" t="s">
        <v>36</v>
      </c>
      <c r="D2" s="17" t="s">
        <v>9</v>
      </c>
      <c r="E2" s="5"/>
      <c r="F2" s="57" t="s">
        <v>15</v>
      </c>
      <c r="G2" s="57"/>
      <c r="H2" s="58"/>
      <c r="I2" s="57"/>
      <c r="J2" s="4"/>
    </row>
    <row r="3" spans="2:10" ht="30" customHeight="1">
      <c r="B3" s="15" t="s">
        <v>7</v>
      </c>
      <c r="C3" s="21"/>
      <c r="D3" s="41"/>
      <c r="E3" s="5"/>
      <c r="F3" s="57"/>
      <c r="G3" s="57"/>
      <c r="H3" s="58"/>
      <c r="I3" s="57"/>
      <c r="J3" s="4"/>
    </row>
    <row r="4" spans="2:10" ht="30" customHeight="1">
      <c r="B4" s="15" t="s">
        <v>8</v>
      </c>
      <c r="C4" s="22"/>
      <c r="D4" s="41"/>
      <c r="E4" s="5"/>
      <c r="F4" s="57"/>
      <c r="G4" s="57"/>
      <c r="H4" s="58"/>
      <c r="I4" s="57"/>
      <c r="J4" s="4"/>
    </row>
    <row r="5" spans="2:10" ht="30" customHeight="1">
      <c r="B5" s="16" t="s">
        <v>13</v>
      </c>
      <c r="C5" s="23">
        <f>E23</f>
        <v>110</v>
      </c>
      <c r="D5" s="41"/>
      <c r="E5" s="5"/>
      <c r="F5" s="57"/>
      <c r="G5" s="57"/>
      <c r="H5" s="58"/>
      <c r="I5" s="57"/>
      <c r="J5" s="4"/>
    </row>
    <row r="6" spans="2:10" ht="30" customHeight="1">
      <c r="B6" s="16" t="s">
        <v>10</v>
      </c>
      <c r="C6" s="24" t="str">
        <f>I23</f>
        <v>TOTAL</v>
      </c>
      <c r="D6" s="61">
        <f>SUM(J9:J22)</f>
        <v>785535</v>
      </c>
      <c r="E6" s="5"/>
      <c r="F6" s="57"/>
      <c r="G6" s="57"/>
      <c r="H6" s="58"/>
      <c r="I6" s="57"/>
      <c r="J6" s="4"/>
    </row>
    <row r="7" spans="2:10" ht="12" customHeight="1">
      <c r="B7" s="5"/>
      <c r="C7" s="25"/>
      <c r="D7" s="5"/>
      <c r="E7" s="5"/>
      <c r="F7" s="5"/>
      <c r="G7" s="5"/>
      <c r="H7" s="50"/>
      <c r="I7" s="32"/>
      <c r="J7" s="4"/>
    </row>
    <row r="8" spans="2:10" ht="25.05" customHeight="1">
      <c r="B8" s="18" t="s">
        <v>0</v>
      </c>
      <c r="C8" s="26" t="s">
        <v>1</v>
      </c>
      <c r="D8" s="6" t="s">
        <v>2</v>
      </c>
      <c r="E8" s="6" t="s">
        <v>14</v>
      </c>
      <c r="F8" s="6" t="s">
        <v>3</v>
      </c>
      <c r="G8" s="6" t="s">
        <v>16</v>
      </c>
      <c r="H8" s="26" t="s">
        <v>20</v>
      </c>
      <c r="I8" s="33" t="s">
        <v>4</v>
      </c>
      <c r="J8" s="33" t="s">
        <v>5</v>
      </c>
    </row>
    <row r="9" spans="2:10" ht="75" customHeight="1">
      <c r="B9" s="7" t="s">
        <v>23</v>
      </c>
      <c r="C9" s="21" t="s">
        <v>21</v>
      </c>
      <c r="D9" s="42" t="s">
        <v>25</v>
      </c>
      <c r="E9" s="8">
        <v>5</v>
      </c>
      <c r="F9" s="8" t="s">
        <v>19</v>
      </c>
      <c r="G9" s="45" t="e" vm="1">
        <v>#VALUE!</v>
      </c>
      <c r="H9" s="51" t="s">
        <v>22</v>
      </c>
      <c r="I9" s="34">
        <v>60500</v>
      </c>
      <c r="J9" s="35">
        <f t="shared" ref="J9:J13" si="0">E9*I9</f>
        <v>302500</v>
      </c>
    </row>
    <row r="10" spans="2:10" ht="75" customHeight="1">
      <c r="B10" s="7" t="s">
        <v>24</v>
      </c>
      <c r="C10" s="21" t="s">
        <v>26</v>
      </c>
      <c r="D10" s="42" t="s">
        <v>27</v>
      </c>
      <c r="E10" s="8">
        <v>5</v>
      </c>
      <c r="F10" s="8" t="s">
        <v>19</v>
      </c>
      <c r="G10" s="45" t="e" vm="2">
        <v>#VALUE!</v>
      </c>
      <c r="H10" s="56" t="s">
        <v>28</v>
      </c>
      <c r="I10" s="34">
        <v>57807</v>
      </c>
      <c r="J10" s="35">
        <f t="shared" si="0"/>
        <v>289035</v>
      </c>
    </row>
    <row r="11" spans="2:10" ht="75" customHeight="1">
      <c r="B11" s="7" t="s">
        <v>29</v>
      </c>
      <c r="C11" s="21" t="s">
        <v>33</v>
      </c>
      <c r="D11" s="42" t="s">
        <v>30</v>
      </c>
      <c r="E11" s="8">
        <v>50</v>
      </c>
      <c r="F11" s="8" t="s">
        <v>31</v>
      </c>
      <c r="G11" s="45" t="e" vm="3">
        <v>#VALUE!</v>
      </c>
      <c r="H11" s="56" t="s">
        <v>34</v>
      </c>
      <c r="I11" s="34">
        <v>1940</v>
      </c>
      <c r="J11" s="35">
        <f t="shared" si="0"/>
        <v>97000</v>
      </c>
    </row>
    <row r="12" spans="2:10" ht="75" customHeight="1">
      <c r="B12" s="7" t="s">
        <v>29</v>
      </c>
      <c r="C12" s="21" t="s">
        <v>32</v>
      </c>
      <c r="D12" s="42" t="s">
        <v>30</v>
      </c>
      <c r="E12" s="8">
        <v>50</v>
      </c>
      <c r="F12" s="8" t="s">
        <v>31</v>
      </c>
      <c r="G12" s="45" t="e" vm="4">
        <v>#VALUE!</v>
      </c>
      <c r="H12" s="51" t="s">
        <v>35</v>
      </c>
      <c r="I12" s="34">
        <v>1940</v>
      </c>
      <c r="J12" s="35">
        <f t="shared" si="0"/>
        <v>97000</v>
      </c>
    </row>
    <row r="13" spans="2:10" ht="75" customHeight="1">
      <c r="B13" s="7"/>
      <c r="C13" s="21"/>
      <c r="D13" s="42"/>
      <c r="E13" s="8"/>
      <c r="F13" s="8"/>
      <c r="G13" s="45"/>
      <c r="H13" s="52"/>
      <c r="I13" s="34"/>
      <c r="J13" s="35">
        <f t="shared" si="0"/>
        <v>0</v>
      </c>
    </row>
    <row r="14" spans="2:10" ht="75" customHeight="1">
      <c r="B14" s="7"/>
      <c r="C14" s="21"/>
      <c r="D14" s="42"/>
      <c r="E14" s="8"/>
      <c r="F14" s="8"/>
      <c r="G14" s="45"/>
      <c r="H14" s="52"/>
      <c r="I14" s="34"/>
      <c r="J14" s="35">
        <f t="shared" ref="J14:J22" si="1">E14*I14</f>
        <v>0</v>
      </c>
    </row>
    <row r="15" spans="2:10" ht="75" customHeight="1">
      <c r="B15" s="7"/>
      <c r="C15" s="21"/>
      <c r="D15" s="42"/>
      <c r="E15" s="8"/>
      <c r="F15" s="8"/>
      <c r="G15" s="45"/>
      <c r="H15" s="52"/>
      <c r="I15" s="34"/>
      <c r="J15" s="35">
        <f t="shared" si="1"/>
        <v>0</v>
      </c>
    </row>
    <row r="16" spans="2:10" ht="75" customHeight="1">
      <c r="B16" s="7"/>
      <c r="C16" s="21"/>
      <c r="D16" s="42"/>
      <c r="E16" s="8"/>
      <c r="F16" s="8"/>
      <c r="G16" s="45"/>
      <c r="H16" s="52"/>
      <c r="I16" s="34"/>
      <c r="J16" s="35">
        <f t="shared" si="1"/>
        <v>0</v>
      </c>
    </row>
    <row r="17" spans="2:10" ht="75" customHeight="1">
      <c r="B17" s="7"/>
      <c r="C17" s="21"/>
      <c r="D17" s="42"/>
      <c r="E17" s="8"/>
      <c r="F17" s="8"/>
      <c r="G17" s="45"/>
      <c r="H17" s="52"/>
      <c r="I17" s="34"/>
      <c r="J17" s="35">
        <f t="shared" si="1"/>
        <v>0</v>
      </c>
    </row>
    <row r="18" spans="2:10" ht="75" customHeight="1">
      <c r="B18" s="7"/>
      <c r="C18" s="21"/>
      <c r="D18" s="42"/>
      <c r="E18" s="8"/>
      <c r="F18" s="8"/>
      <c r="G18" s="45"/>
      <c r="H18" s="52"/>
      <c r="I18" s="34"/>
      <c r="J18" s="35">
        <f t="shared" si="1"/>
        <v>0</v>
      </c>
    </row>
    <row r="19" spans="2:10" ht="75" customHeight="1">
      <c r="B19" s="7"/>
      <c r="C19" s="21"/>
      <c r="D19" s="42"/>
      <c r="E19" s="8"/>
      <c r="F19" s="8"/>
      <c r="G19" s="45"/>
      <c r="H19" s="52"/>
      <c r="I19" s="34"/>
      <c r="J19" s="35">
        <f t="shared" si="1"/>
        <v>0</v>
      </c>
    </row>
    <row r="20" spans="2:10" ht="75" customHeight="1">
      <c r="B20" s="7"/>
      <c r="C20" s="21"/>
      <c r="D20" s="42"/>
      <c r="E20" s="8"/>
      <c r="F20" s="8"/>
      <c r="G20" s="45"/>
      <c r="H20" s="52"/>
      <c r="I20" s="34"/>
      <c r="J20" s="35">
        <f t="shared" si="1"/>
        <v>0</v>
      </c>
    </row>
    <row r="21" spans="2:10" ht="75" customHeight="1">
      <c r="B21" s="7"/>
      <c r="C21" s="21"/>
      <c r="D21" s="42"/>
      <c r="E21" s="8"/>
      <c r="F21" s="8"/>
      <c r="G21" s="45"/>
      <c r="H21" s="52"/>
      <c r="I21" s="34"/>
      <c r="J21" s="35">
        <f t="shared" si="1"/>
        <v>0</v>
      </c>
    </row>
    <row r="22" spans="2:10" ht="75" customHeight="1" thickBot="1">
      <c r="B22" s="12"/>
      <c r="C22" s="27"/>
      <c r="D22" s="43"/>
      <c r="E22" s="13"/>
      <c r="F22" s="13"/>
      <c r="G22" s="46"/>
      <c r="H22" s="53"/>
      <c r="I22" s="36"/>
      <c r="J22" s="37">
        <f t="shared" si="1"/>
        <v>0</v>
      </c>
    </row>
    <row r="23" spans="2:10" ht="64.95" customHeight="1">
      <c r="B23" s="9"/>
      <c r="C23" s="28"/>
      <c r="D23" s="44" t="s">
        <v>11</v>
      </c>
      <c r="E23" s="10">
        <f>SUM(E9:E22)</f>
        <v>110</v>
      </c>
      <c r="F23" s="11"/>
      <c r="G23" s="47"/>
      <c r="H23" s="54"/>
      <c r="I23" s="38" t="s">
        <v>12</v>
      </c>
      <c r="J23" s="48">
        <f>SUM(J9:J22)</f>
        <v>785535</v>
      </c>
    </row>
    <row r="25" spans="2:10">
      <c r="B25" s="59" t="s">
        <v>17</v>
      </c>
      <c r="C25" s="59"/>
      <c r="D25" s="59"/>
      <c r="E25" s="59"/>
      <c r="F25" s="59"/>
      <c r="G25" s="59"/>
      <c r="H25" s="60"/>
      <c r="I25" s="59"/>
    </row>
    <row r="26" spans="2:10">
      <c r="B26" s="59"/>
      <c r="C26" s="59"/>
      <c r="D26" s="59"/>
      <c r="E26" s="59"/>
      <c r="F26" s="59"/>
      <c r="G26" s="59"/>
      <c r="H26" s="60"/>
      <c r="I26" s="59"/>
    </row>
  </sheetData>
  <mergeCells count="2">
    <mergeCell ref="F2:I6"/>
    <mergeCell ref="B25:I26"/>
  </mergeCells>
  <hyperlinks>
    <hyperlink ref="B25:I26" r:id="rId1" display="CREATE YOUR BILL OF MATERIALS TEMPLATE IN SMARTSHEET" xr:uid="{00000000-0004-0000-0000-000000000000}"/>
    <hyperlink ref="H9" r:id="rId2" xr:uid="{AF837F08-1FD7-4A93-9927-5FBE953EEFA4}"/>
    <hyperlink ref="H10" r:id="rId3" xr:uid="{763E54EC-60F5-4FE5-AD99-8ECA89D301AF}"/>
    <hyperlink ref="H11" r:id="rId4" xr:uid="{409AE7BA-8E73-4BD3-9EF8-4627FC5A0583}"/>
  </hyperlinks>
  <pageMargins left="0.25" right="0.25" top="0.25" bottom="0.25" header="0" footer="0"/>
  <pageSetup scale="60" fitToHeight="0" orientation="portrait" horizontalDpi="4294967292" verticalDpi="4294967292" r:id="rId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</vt:lpstr>
      <vt:lpstr>'Bill of Materials'!Print_Area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Imam Riyanto</cp:lastModifiedBy>
  <dcterms:created xsi:type="dcterms:W3CDTF">2015-07-29T21:33:10Z</dcterms:created>
  <dcterms:modified xsi:type="dcterms:W3CDTF">2026-10-08T08:58:49Z</dcterms:modified>
</cp:coreProperties>
</file>